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ully/Projects/claws/"/>
    </mc:Choice>
  </mc:AlternateContent>
  <xr:revisionPtr revIDLastSave="0" documentId="13_ncr:1_{90B8730D-29CE-614F-9CF8-F0E36C364F90}" xr6:coauthVersionLast="47" xr6:coauthVersionMax="47" xr10:uidLastSave="{00000000-0000-0000-0000-000000000000}"/>
  <bookViews>
    <workbookView xWindow="32700" yWindow="100" windowWidth="31300" windowHeight="16820" xr2:uid="{160E639B-AABE-8D4A-B367-1E2FDAC02903}"/>
  </bookViews>
  <sheets>
    <sheet name="Sheet2" sheetId="2" r:id="rId1"/>
    <sheet name="Sheet1" sheetId="1" r:id="rId2"/>
  </sheets>
  <calcPr calcId="191029"/>
  <pivotCaches>
    <pivotCache cacheId="1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" i="1" l="1"/>
  <c r="K17" i="1"/>
  <c r="J17" i="1"/>
  <c r="I17" i="1"/>
  <c r="H17" i="1"/>
  <c r="G17" i="1"/>
  <c r="F17" i="1"/>
  <c r="E17" i="1"/>
  <c r="D17" i="1"/>
</calcChain>
</file>

<file path=xl/sharedStrings.xml><?xml version="1.0" encoding="utf-8"?>
<sst xmlns="http://schemas.openxmlformats.org/spreadsheetml/2006/main" count="56" uniqueCount="23">
  <si>
    <t>combined_stats_window_5_code_with_problems</t>
  </si>
  <si>
    <t>parser</t>
  </si>
  <si>
    <t>combined_stats_window_10_code_with_problems</t>
  </si>
  <si>
    <t>combined_stats_window_25_code_with_problems</t>
  </si>
  <si>
    <t>combined_stats_window_50_code_with_problems</t>
  </si>
  <si>
    <t>combined_stats_no_window_code_with_problems</t>
  </si>
  <si>
    <t>batch_id</t>
  </si>
  <si>
    <t>gold_view</t>
  </si>
  <si>
    <t>threshold</t>
  </si>
  <si>
    <t>precision_macro</t>
  </si>
  <si>
    <t>recall_macro</t>
  </si>
  <si>
    <t>f1_macro</t>
  </si>
  <si>
    <t>jaccard_macro</t>
  </si>
  <si>
    <t>exact_accuracy_macro</t>
  </si>
  <si>
    <t>precision_micro</t>
  </si>
  <si>
    <t>recall_micro</t>
  </si>
  <si>
    <t>f1_micro</t>
  </si>
  <si>
    <t>jaccard_micro</t>
  </si>
  <si>
    <t>Row Labels</t>
  </si>
  <si>
    <t>Grand Total</t>
  </si>
  <si>
    <t>Column Labels</t>
  </si>
  <si>
    <t>(All)</t>
  </si>
  <si>
    <t>Sum of precision_macro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</si>
</sst>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[summary_accuracy_2.xlsx]Sheet2!PivotTable2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Sheet2!$B$5:$B$6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Sheet2!$A$7:$A$10</c:f>
              <c:strCache>
                <c:ptCount val="3"/>
                <c:pt idx="0">
                  <c:v>combined_stats_window_5_code_with_problems</c:v>
                </c:pt>
                <c:pt idx="1">
                  <c:v>combined_stats_window_10_code_with_problems</c:v>
                </c:pt>
                <c:pt idx="2">
                  <c:v>combined_stats_no_window_code_with_problems</c:v>
                </c:pt>
              </c:strCache>
            </c:strRef>
          </c:cat>
          <c:val>
            <c:numRef>
              <c:f>Sheet2!$B$7:$B$10</c:f>
              <c:numCache>
                <c:formatCode>0.000</c:formatCode>
                <c:ptCount val="3"/>
                <c:pt idx="0">
                  <c:v>0.82840000000000003</c:v>
                </c:pt>
                <c:pt idx="1">
                  <c:v>0.80069999999999997</c:v>
                </c:pt>
                <c:pt idx="2">
                  <c:v>0.89739999999999998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C8-DA40-A659-4B0B15D1AA12}"/>
            </c:ext>
          </c:extLst>
        </c:ser>
        <c:ser>
          <c:idx val="1"/>
          <c:order val="1"/>
          <c:tx>
            <c:strRef>
              <c:f>Sheet2!$C$5:$C$6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Sheet2!$A$7:$A$10</c:f>
              <c:strCache>
                <c:ptCount val="3"/>
                <c:pt idx="0">
                  <c:v>combined_stats_window_5_code_with_problems</c:v>
                </c:pt>
                <c:pt idx="1">
                  <c:v>combined_stats_window_10_code_with_problems</c:v>
                </c:pt>
                <c:pt idx="2">
                  <c:v>combined_stats_no_window_code_with_problems</c:v>
                </c:pt>
              </c:strCache>
            </c:strRef>
          </c:cat>
          <c:val>
            <c:numRef>
              <c:f>Sheet2!$C$7:$C$10</c:f>
              <c:numCache>
                <c:formatCode>0.000</c:formatCode>
                <c:ptCount val="3"/>
                <c:pt idx="0">
                  <c:v>0.86939999999999995</c:v>
                </c:pt>
                <c:pt idx="1">
                  <c:v>0.82720000000000005</c:v>
                </c:pt>
                <c:pt idx="2">
                  <c:v>0.90469999999999995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C8-DA40-A659-4B0B15D1AA12}"/>
            </c:ext>
          </c:extLst>
        </c:ser>
        <c:ser>
          <c:idx val="2"/>
          <c:order val="2"/>
          <c:tx>
            <c:strRef>
              <c:f>Sheet2!$D$5:$D$6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Sheet2!$A$7:$A$10</c:f>
              <c:strCache>
                <c:ptCount val="3"/>
                <c:pt idx="0">
                  <c:v>combined_stats_window_5_code_with_problems</c:v>
                </c:pt>
                <c:pt idx="1">
                  <c:v>combined_stats_window_10_code_with_problems</c:v>
                </c:pt>
                <c:pt idx="2">
                  <c:v>combined_stats_no_window_code_with_problems</c:v>
                </c:pt>
              </c:strCache>
            </c:strRef>
          </c:cat>
          <c:val>
            <c:numRef>
              <c:f>Sheet2!$D$7:$D$10</c:f>
              <c:numCache>
                <c:formatCode>0.000</c:formatCode>
                <c:ptCount val="3"/>
                <c:pt idx="0">
                  <c:v>0.90049999999999997</c:v>
                </c:pt>
                <c:pt idx="1">
                  <c:v>0.87929999999999997</c:v>
                </c:pt>
                <c:pt idx="2">
                  <c:v>0.92259999999999998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C8-DA40-A659-4B0B15D1AA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4829727"/>
        <c:axId val="774831439"/>
      </c:barChart>
      <c:catAx>
        <c:axId val="774829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831439"/>
        <c:crosses val="autoZero"/>
        <c:auto val="1"/>
        <c:lblAlgn val="ctr"/>
        <c:lblOffset val="100"/>
        <c:noMultiLvlLbl val="0"/>
      </c:catAx>
      <c:valAx>
        <c:axId val="774831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829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254000</xdr:colOff>
      <xdr:row>13</xdr:row>
      <xdr:rowOff>95250</xdr:rowOff>
    </xdr:from>
    <xdr:to>
      <xdr:col>14</xdr:col>
      <xdr:colOff>139700</xdr:colOff>
      <xdr:row>26</xdr:row>
      <xdr:rowOff>196850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C4BDB2-DB31-7CED-EB71-8EE86AFFA9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924.784625115739" createdVersion="8" refreshedVersion="8" minRefreshableVersion="3" recordCount="15" xr:uid="{7B7A44AF-9530-804E-8B1D-3A4A02EB0345}">
  <cacheSource type="worksheet">
    <worksheetSource ref="A1:L16" sheet="Sheet1"/>
  </cacheSource>
  <cacheFields count="12">
    <cacheField name="batch_id" numFmtId="0">
      <sharedItems count="5">
        <s v="combined_stats_window_5_code_with_problems"/>
        <s v="combined_stats_window_10_code_with_problems"/>
        <s v="combined_stats_window_25_code_with_problems"/>
        <s v="combined_stats_window_50_code_with_problems"/>
        <s v="combined_stats_no_window_code_with_problems"/>
      </sharedItems>
    </cacheField>
    <cacheField name="gold_view" numFmtId="0">
      <sharedItems count="1">
        <s v="parser"/>
      </sharedItems>
    </cacheField>
    <cacheField name="threshold" numFmtId="0">
      <sharedItems containsSemiMixedTypes="0" containsString="0" containsNumber="1" containsInteger="1" minValue="3" maxValue="5" count="3">
        <n v="5"/>
        <n v="4"/>
        <n v="3"/>
      </sharedItems>
    </cacheField>
    <cacheField name="precision_macro" numFmtId="164">
      <sharedItems containsSemiMixedTypes="0" containsString="0" containsNumber="1" minValue="0.80069999999999997" maxValue="0.93169999999999997"/>
    </cacheField>
    <cacheField name="recall_macro" numFmtId="164">
      <sharedItems containsSemiMixedTypes="0" containsString="0" containsNumber="1" minValue="0.86499999999999999" maxValue="0.96179999999999999" count="15">
        <n v="0.89600000000000002"/>
        <n v="0.95750000000000002"/>
        <n v="0.96179999999999999"/>
        <n v="0.86499999999999999"/>
        <n v="0.95640000000000003"/>
        <n v="0.96"/>
        <n v="0.91449999999999998"/>
        <n v="0.95079999999999998"/>
        <n v="0.95540000000000003"/>
        <n v="0.88849999999999996"/>
        <n v="0.94720000000000004"/>
        <n v="0.94930000000000003"/>
        <n v="0.88470000000000004"/>
        <n v="0.91459999999999997"/>
        <n v="0.91549999999999998"/>
      </sharedItems>
    </cacheField>
    <cacheField name="f1_macro" numFmtId="164">
      <sharedItems containsSemiMixedTypes="0" containsString="0" containsNumber="1" minValue="0.86780000000000002" maxValue="0.92910000000000004" count="15">
        <n v="0.8952"/>
        <n v="0.90869999999999995"/>
        <n v="0.88660000000000005"/>
        <n v="0.86780000000000002"/>
        <n v="0.88439999999999996"/>
        <n v="0.87009999999999998"/>
        <n v="0.91969999999999996"/>
        <n v="0.92910000000000004"/>
        <n v="0.92400000000000004"/>
        <n v="0.90349999999999997"/>
        <n v="0.92269999999999996"/>
        <n v="0.91910000000000003"/>
        <n v="0.89859999999999995"/>
        <n v="0.90629999999999999"/>
        <n v="0.90290000000000004"/>
      </sharedItems>
    </cacheField>
    <cacheField name="jaccard_macro" numFmtId="164">
      <sharedItems containsSemiMixedTypes="0" containsString="0" containsNumber="1" minValue="0.77800000000000002" maxValue="0.87939999999999996"/>
    </cacheField>
    <cacheField name="exact_accuracy_macro" numFmtId="164">
      <sharedItems containsSemiMixedTypes="0" containsString="0" containsNumber="1" minValue="4.58E-2" maxValue="0.25190000000000001"/>
    </cacheField>
    <cacheField name="precision_micro" numFmtId="164">
      <sharedItems containsSemiMixedTypes="0" containsString="0" containsNumber="1" minValue="0.79590000000000005" maxValue="0.93630000000000002"/>
    </cacheField>
    <cacheField name="recall_micro" numFmtId="164">
      <sharedItems containsSemiMixedTypes="0" containsString="0" containsNumber="1" minValue="0.86990000000000001" maxValue="0.95479999999999998"/>
    </cacheField>
    <cacheField name="f1_micro" numFmtId="164">
      <sharedItems containsSemiMixedTypes="0" containsString="0" containsNumber="1" minValue="0.86660000000000004" maxValue="0.92759999999999998"/>
    </cacheField>
    <cacheField name="jaccard_micro" numFmtId="164">
      <sharedItems containsSemiMixedTypes="0" containsString="0" containsNumber="1" minValue="0.76459999999999995" maxValue="0.864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x v="0"/>
    <x v="0"/>
    <n v="0.90049999999999997"/>
    <x v="0"/>
    <x v="0"/>
    <n v="0.82169999999999999"/>
    <n v="0.1145"/>
    <n v="0.89980000000000004"/>
    <n v="0.89439999999999997"/>
    <n v="0.89710000000000001"/>
    <n v="0.81340000000000001"/>
  </r>
  <r>
    <x v="0"/>
    <x v="0"/>
    <x v="1"/>
    <n v="0.86939999999999995"/>
    <x v="1"/>
    <x v="1"/>
    <n v="0.84289999999999998"/>
    <n v="0.1489"/>
    <n v="0.86350000000000005"/>
    <n v="0.95050000000000001"/>
    <n v="0.90490000000000004"/>
    <n v="0.82630000000000003"/>
  </r>
  <r>
    <x v="0"/>
    <x v="0"/>
    <x v="2"/>
    <n v="0.82840000000000003"/>
    <x v="2"/>
    <x v="2"/>
    <n v="0.80689999999999995"/>
    <n v="8.7800000000000003E-2"/>
    <n v="0.82589999999999997"/>
    <n v="0.95479999999999998"/>
    <n v="0.88570000000000004"/>
    <n v="0.79479999999999995"/>
  </r>
  <r>
    <x v="1"/>
    <x v="0"/>
    <x v="0"/>
    <n v="0.87929999999999997"/>
    <x v="3"/>
    <x v="3"/>
    <n v="0.77800000000000002"/>
    <n v="4.58E-2"/>
    <n v="0.87490000000000001"/>
    <n v="0.86990000000000001"/>
    <n v="0.87239999999999995"/>
    <n v="0.77370000000000005"/>
  </r>
  <r>
    <x v="1"/>
    <x v="0"/>
    <x v="1"/>
    <n v="0.82720000000000005"/>
    <x v="4"/>
    <x v="4"/>
    <n v="0.80369999999999997"/>
    <n v="8.4000000000000005E-2"/>
    <n v="0.82279999999999998"/>
    <n v="0.9476"/>
    <n v="0.88080000000000003"/>
    <n v="0.78700000000000003"/>
  </r>
  <r>
    <x v="1"/>
    <x v="0"/>
    <x v="2"/>
    <n v="0.80069999999999997"/>
    <x v="5"/>
    <x v="5"/>
    <n v="0.78080000000000005"/>
    <n v="6.1100000000000002E-2"/>
    <n v="0.79590000000000005"/>
    <n v="0.95109999999999995"/>
    <n v="0.86660000000000004"/>
    <n v="0.76459999999999995"/>
  </r>
  <r>
    <x v="2"/>
    <x v="0"/>
    <x v="0"/>
    <n v="0.93169999999999997"/>
    <x v="6"/>
    <x v="6"/>
    <n v="0.86329999999999996"/>
    <n v="0.2137"/>
    <n v="0.93430000000000002"/>
    <n v="0.90580000000000005"/>
    <n v="0.91979999999999995"/>
    <n v="0.85150000000000003"/>
  </r>
  <r>
    <x v="2"/>
    <x v="0"/>
    <x v="1"/>
    <n v="0.91320000000000001"/>
    <x v="7"/>
    <x v="7"/>
    <n v="0.87939999999999996"/>
    <n v="0.25190000000000001"/>
    <n v="0.91520000000000001"/>
    <n v="0.94020000000000004"/>
    <n v="0.92759999999999998"/>
    <n v="0.8649"/>
  </r>
  <r>
    <x v="2"/>
    <x v="0"/>
    <x v="2"/>
    <n v="0.9"/>
    <x v="8"/>
    <x v="8"/>
    <n v="0.87090000000000001"/>
    <n v="0.22520000000000001"/>
    <n v="0.90200000000000002"/>
    <n v="0.94510000000000005"/>
    <n v="0.92300000000000004"/>
    <n v="0.85699999999999998"/>
  </r>
  <r>
    <x v="3"/>
    <x v="0"/>
    <x v="0"/>
    <n v="0.92620000000000002"/>
    <x v="9"/>
    <x v="9"/>
    <n v="0.83479999999999999"/>
    <n v="6.8699999999999997E-2"/>
    <n v="0.92689999999999995"/>
    <n v="0.89190000000000003"/>
    <n v="0.90910000000000002"/>
    <n v="0.83330000000000004"/>
  </r>
  <r>
    <x v="3"/>
    <x v="0"/>
    <x v="1"/>
    <n v="0.90529999999999999"/>
    <x v="10"/>
    <x v="10"/>
    <n v="0.86719999999999997"/>
    <n v="0.1794"/>
    <n v="0.90529999999999999"/>
    <n v="0.94140000000000001"/>
    <n v="0.92300000000000004"/>
    <n v="0.85699999999999998"/>
  </r>
  <r>
    <x v="3"/>
    <x v="0"/>
    <x v="2"/>
    <n v="0.89690000000000003"/>
    <x v="11"/>
    <x v="11"/>
    <n v="0.86080000000000001"/>
    <n v="0.1565"/>
    <n v="0.89759999999999995"/>
    <n v="0.94340000000000002"/>
    <n v="0.91990000000000005"/>
    <n v="0.85170000000000001"/>
  </r>
  <r>
    <x v="4"/>
    <x v="0"/>
    <x v="0"/>
    <n v="0.92259999999999998"/>
    <x v="12"/>
    <x v="12"/>
    <n v="0.83909999999999996"/>
    <n v="0.19470000000000001"/>
    <n v="0.93630000000000002"/>
    <n v="0.88619999999999999"/>
    <n v="0.91049999999999998"/>
    <n v="0.8357"/>
  </r>
  <r>
    <x v="4"/>
    <x v="0"/>
    <x v="1"/>
    <n v="0.90469999999999995"/>
    <x v="13"/>
    <x v="13"/>
    <n v="0.85109999999999997"/>
    <n v="0.20610000000000001"/>
    <n v="0.91890000000000005"/>
    <n v="0.90949999999999998"/>
    <n v="0.91420000000000001"/>
    <n v="0.84189999999999998"/>
  </r>
  <r>
    <x v="4"/>
    <x v="0"/>
    <x v="2"/>
    <n v="0.89739999999999998"/>
    <x v="14"/>
    <x v="14"/>
    <n v="0.84560000000000002"/>
    <n v="0.20610000000000001"/>
    <n v="0.91039999999999999"/>
    <n v="0.91039999999999999"/>
    <n v="0.91039999999999999"/>
    <n v="0.835500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C08AC0-1818-7741-B639-C4CF1B1324F7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5:E10" firstHeaderRow="1" firstDataRow="2" firstDataCol="1" rowPageCount="3" colPageCount="1"/>
  <pivotFields count="12">
    <pivotField axis="axisRow" showAll="0" sortType="descending">
      <items count="6">
        <item h="1" x="3"/>
        <item x="0"/>
        <item h="1" x="2"/>
        <item x="1"/>
        <item x="4"/>
        <item t="default"/>
      </items>
    </pivotField>
    <pivotField axis="axisPage" showAll="0">
      <items count="2">
        <item x="0"/>
        <item t="default"/>
      </items>
    </pivotField>
    <pivotField axis="axisCol" showAll="0">
      <items count="4">
        <item x="2"/>
        <item x="1"/>
        <item x="0"/>
        <item t="default"/>
      </items>
    </pivotField>
    <pivotField dataField="1" numFmtId="164" showAll="0"/>
    <pivotField axis="axisPage" numFmtId="164" showAll="0">
      <items count="16">
        <item x="3"/>
        <item x="12"/>
        <item x="9"/>
        <item x="0"/>
        <item x="6"/>
        <item x="13"/>
        <item x="14"/>
        <item x="10"/>
        <item x="11"/>
        <item x="7"/>
        <item x="8"/>
        <item x="4"/>
        <item x="1"/>
        <item x="5"/>
        <item x="2"/>
        <item t="default"/>
      </items>
    </pivotField>
    <pivotField axis="axisPage" numFmtId="164" showAll="0">
      <items count="16">
        <item x="3"/>
        <item x="5"/>
        <item x="4"/>
        <item x="2"/>
        <item x="0"/>
        <item x="12"/>
        <item x="14"/>
        <item x="9"/>
        <item x="13"/>
        <item x="1"/>
        <item x="11"/>
        <item x="6"/>
        <item x="10"/>
        <item x="8"/>
        <item x="7"/>
        <item t="default"/>
      </items>
    </pivotField>
    <pivotField numFmtId="164" showAll="0"/>
    <pivotField numFmtId="164" showAll="0"/>
    <pivotField numFmtId="164" showAll="0"/>
    <pivotField numFmtId="164" showAll="0"/>
    <pivotField numFmtId="164" showAll="0"/>
    <pivotField numFmtId="164" showAll="0"/>
  </pivotFields>
  <rowFields count="1">
    <field x="0"/>
  </rowFields>
  <rowItems count="4">
    <i>
      <x v="1"/>
    </i>
    <i>
      <x v="3"/>
    </i>
    <i>
      <x v="4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pageFields count="3">
    <pageField fld="1" hier="-1"/>
    <pageField fld="4" hier="-1"/>
    <pageField fld="5" hier="-1"/>
  </pageFields>
  <dataFields count="1">
    <dataField name="Sum of precision_macro" fld="3" baseField="0" baseItem="0" numFmtId="164"/>
  </dataFields>
  <chartFormats count="3">
    <chartFormat chart="0" format="9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10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11" series="1">
      <pivotArea type="data" outline="0" fieldPosition="0">
        <references count="1"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E50CF-75BC-D84D-ABB1-3C70DACEF9BF}">
  <dimension ref="A1:E10"/>
  <sheetViews>
    <sheetView tabSelected="1" workbookViewId="0">
      <selection activeCell="G10" sqref="G10"/>
    </sheetView>
  </sheetViews>
  <sheetFormatPr baseColWidth="10" defaultRowHeight="16" x14ac:dyDescent="0.2"/>
  <cols>
    <col min="1" max="1" width="42.33203125" bestFit="1" customWidth="1"/>
    <col min="2" max="2" width="16" bestFit="1" customWidth="1"/>
    <col min="3" max="4" width="5.6640625" bestFit="1" customWidth="1"/>
    <col min="5" max="5" width="10.5" bestFit="1" customWidth="1"/>
    <col min="6" max="6" width="18.1640625" bestFit="1" customWidth="1"/>
    <col min="7" max="7" width="15" bestFit="1" customWidth="1"/>
    <col min="8" max="8" width="22.6640625" bestFit="1" customWidth="1"/>
    <col min="9" max="9" width="19.5" bestFit="1" customWidth="1"/>
    <col min="10" max="16" width="5.6640625" bestFit="1" customWidth="1"/>
    <col min="17" max="17" width="10.5" bestFit="1" customWidth="1"/>
  </cols>
  <sheetData>
    <row r="1" spans="1:5" x14ac:dyDescent="0.2">
      <c r="A1" s="3" t="s">
        <v>7</v>
      </c>
      <c r="B1" t="s">
        <v>21</v>
      </c>
    </row>
    <row r="2" spans="1:5" x14ac:dyDescent="0.2">
      <c r="A2" s="3" t="s">
        <v>10</v>
      </c>
      <c r="B2" t="s">
        <v>21</v>
      </c>
    </row>
    <row r="3" spans="1:5" x14ac:dyDescent="0.2">
      <c r="A3" s="3" t="s">
        <v>11</v>
      </c>
      <c r="B3" t="s">
        <v>21</v>
      </c>
    </row>
    <row r="5" spans="1:5" x14ac:dyDescent="0.2">
      <c r="A5" s="3" t="s">
        <v>22</v>
      </c>
      <c r="B5" s="3" t="s">
        <v>20</v>
      </c>
    </row>
    <row r="6" spans="1:5" x14ac:dyDescent="0.2">
      <c r="A6" s="3" t="s">
        <v>18</v>
      </c>
      <c r="B6">
        <v>3</v>
      </c>
      <c r="C6">
        <v>4</v>
      </c>
      <c r="D6">
        <v>5</v>
      </c>
      <c r="E6" t="s">
        <v>19</v>
      </c>
    </row>
    <row r="7" spans="1:5" x14ac:dyDescent="0.2">
      <c r="A7" s="4" t="s">
        <v>0</v>
      </c>
      <c r="B7" s="1">
        <v>0.82840000000000003</v>
      </c>
      <c r="C7" s="1">
        <v>0.86939999999999995</v>
      </c>
      <c r="D7" s="1">
        <v>0.90049999999999997</v>
      </c>
      <c r="E7" s="1">
        <v>2.5983000000000001</v>
      </c>
    </row>
    <row r="8" spans="1:5" x14ac:dyDescent="0.2">
      <c r="A8" s="4" t="s">
        <v>2</v>
      </c>
      <c r="B8" s="1">
        <v>0.80069999999999997</v>
      </c>
      <c r="C8" s="1">
        <v>0.82720000000000005</v>
      </c>
      <c r="D8" s="1">
        <v>0.87929999999999997</v>
      </c>
      <c r="E8" s="1">
        <v>2.5072000000000001</v>
      </c>
    </row>
    <row r="9" spans="1:5" x14ac:dyDescent="0.2">
      <c r="A9" s="4" t="s">
        <v>5</v>
      </c>
      <c r="B9" s="1">
        <v>0.89739999999999998</v>
      </c>
      <c r="C9" s="1">
        <v>0.90469999999999995</v>
      </c>
      <c r="D9" s="1">
        <v>0.92259999999999998</v>
      </c>
      <c r="E9" s="1">
        <v>2.7246999999999999</v>
      </c>
    </row>
    <row r="10" spans="1:5" x14ac:dyDescent="0.2">
      <c r="A10" s="4" t="s">
        <v>19</v>
      </c>
      <c r="B10" s="1">
        <v>2.5265</v>
      </c>
      <c r="C10" s="1">
        <v>2.6013000000000002</v>
      </c>
      <c r="D10" s="1">
        <v>2.7023999999999999</v>
      </c>
      <c r="E10" s="1">
        <v>7.8301999999999996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C6539-F86B-0846-8616-B8E07DFEB871}">
  <dimension ref="A1:L17"/>
  <sheetViews>
    <sheetView workbookViewId="0">
      <selection activeCell="A2" sqref="A2:XFD4"/>
    </sheetView>
  </sheetViews>
  <sheetFormatPr baseColWidth="10" defaultRowHeight="16" x14ac:dyDescent="0.2"/>
  <cols>
    <col min="1" max="1" width="42.33203125" bestFit="1" customWidth="1"/>
  </cols>
  <sheetData>
    <row r="1" spans="1:12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</row>
    <row r="2" spans="1:12" x14ac:dyDescent="0.2">
      <c r="A2" t="s">
        <v>0</v>
      </c>
      <c r="B2" t="s">
        <v>1</v>
      </c>
      <c r="C2">
        <v>5</v>
      </c>
      <c r="D2" s="1">
        <v>0.90049999999999997</v>
      </c>
      <c r="E2" s="1">
        <v>0.89600000000000002</v>
      </c>
      <c r="F2" s="1">
        <v>0.8952</v>
      </c>
      <c r="G2" s="1">
        <v>0.82169999999999999</v>
      </c>
      <c r="H2" s="1">
        <v>0.1145</v>
      </c>
      <c r="I2" s="1">
        <v>0.89980000000000004</v>
      </c>
      <c r="J2" s="1">
        <v>0.89439999999999997</v>
      </c>
      <c r="K2" s="1">
        <v>0.89710000000000001</v>
      </c>
      <c r="L2" s="1">
        <v>0.81340000000000001</v>
      </c>
    </row>
    <row r="3" spans="1:12" x14ac:dyDescent="0.2">
      <c r="A3" t="s">
        <v>0</v>
      </c>
      <c r="B3" t="s">
        <v>1</v>
      </c>
      <c r="C3">
        <v>4</v>
      </c>
      <c r="D3" s="1">
        <v>0.86939999999999995</v>
      </c>
      <c r="E3" s="1">
        <v>0.95750000000000002</v>
      </c>
      <c r="F3" s="1">
        <v>0.90869999999999995</v>
      </c>
      <c r="G3" s="1">
        <v>0.84289999999999998</v>
      </c>
      <c r="H3" s="1">
        <v>0.1489</v>
      </c>
      <c r="I3" s="1">
        <v>0.86350000000000005</v>
      </c>
      <c r="J3" s="1">
        <v>0.95050000000000001</v>
      </c>
      <c r="K3" s="1">
        <v>0.90490000000000004</v>
      </c>
      <c r="L3" s="1">
        <v>0.82630000000000003</v>
      </c>
    </row>
    <row r="4" spans="1:12" x14ac:dyDescent="0.2">
      <c r="A4" t="s">
        <v>0</v>
      </c>
      <c r="B4" t="s">
        <v>1</v>
      </c>
      <c r="C4">
        <v>3</v>
      </c>
      <c r="D4" s="1">
        <v>0.82840000000000003</v>
      </c>
      <c r="E4" s="2">
        <v>0.96179999999999999</v>
      </c>
      <c r="F4" s="1">
        <v>0.88660000000000005</v>
      </c>
      <c r="G4" s="1">
        <v>0.80689999999999995</v>
      </c>
      <c r="H4" s="1">
        <v>8.7800000000000003E-2</v>
      </c>
      <c r="I4" s="1">
        <v>0.82589999999999997</v>
      </c>
      <c r="J4" s="2">
        <v>0.95479999999999998</v>
      </c>
      <c r="K4" s="1">
        <v>0.88570000000000004</v>
      </c>
      <c r="L4" s="1">
        <v>0.79479999999999995</v>
      </c>
    </row>
    <row r="5" spans="1:12" x14ac:dyDescent="0.2">
      <c r="A5" t="s">
        <v>2</v>
      </c>
      <c r="B5" t="s">
        <v>1</v>
      </c>
      <c r="C5">
        <v>5</v>
      </c>
      <c r="D5" s="1">
        <v>0.87929999999999997</v>
      </c>
      <c r="E5" s="1">
        <v>0.86499999999999999</v>
      </c>
      <c r="F5" s="1">
        <v>0.86780000000000002</v>
      </c>
      <c r="G5" s="1">
        <v>0.77800000000000002</v>
      </c>
      <c r="H5" s="1">
        <v>4.58E-2</v>
      </c>
      <c r="I5" s="1">
        <v>0.87490000000000001</v>
      </c>
      <c r="J5" s="1">
        <v>0.86990000000000001</v>
      </c>
      <c r="K5" s="1">
        <v>0.87239999999999995</v>
      </c>
      <c r="L5" s="1">
        <v>0.77370000000000005</v>
      </c>
    </row>
    <row r="6" spans="1:12" x14ac:dyDescent="0.2">
      <c r="A6" t="s">
        <v>2</v>
      </c>
      <c r="B6" t="s">
        <v>1</v>
      </c>
      <c r="C6">
        <v>4</v>
      </c>
      <c r="D6" s="1">
        <v>0.82720000000000005</v>
      </c>
      <c r="E6" s="1">
        <v>0.95640000000000003</v>
      </c>
      <c r="F6" s="1">
        <v>0.88439999999999996</v>
      </c>
      <c r="G6" s="1">
        <v>0.80369999999999997</v>
      </c>
      <c r="H6" s="1">
        <v>8.4000000000000005E-2</v>
      </c>
      <c r="I6" s="1">
        <v>0.82279999999999998</v>
      </c>
      <c r="J6" s="1">
        <v>0.9476</v>
      </c>
      <c r="K6" s="1">
        <v>0.88080000000000003</v>
      </c>
      <c r="L6" s="1">
        <v>0.78700000000000003</v>
      </c>
    </row>
    <row r="7" spans="1:12" x14ac:dyDescent="0.2">
      <c r="A7" t="s">
        <v>2</v>
      </c>
      <c r="B7" t="s">
        <v>1</v>
      </c>
      <c r="C7">
        <v>3</v>
      </c>
      <c r="D7" s="1">
        <v>0.80069999999999997</v>
      </c>
      <c r="E7" s="1">
        <v>0.96</v>
      </c>
      <c r="F7" s="1">
        <v>0.87009999999999998</v>
      </c>
      <c r="G7" s="1">
        <v>0.78080000000000005</v>
      </c>
      <c r="H7" s="1">
        <v>6.1100000000000002E-2</v>
      </c>
      <c r="I7" s="1">
        <v>0.79590000000000005</v>
      </c>
      <c r="J7" s="1">
        <v>0.95109999999999995</v>
      </c>
      <c r="K7" s="1">
        <v>0.86660000000000004</v>
      </c>
      <c r="L7" s="1">
        <v>0.76459999999999995</v>
      </c>
    </row>
    <row r="8" spans="1:12" x14ac:dyDescent="0.2">
      <c r="A8" t="s">
        <v>3</v>
      </c>
      <c r="B8" t="s">
        <v>1</v>
      </c>
      <c r="C8">
        <v>5</v>
      </c>
      <c r="D8" s="2">
        <v>0.93169999999999997</v>
      </c>
      <c r="E8" s="1">
        <v>0.91449999999999998</v>
      </c>
      <c r="F8" s="1">
        <v>0.91969999999999996</v>
      </c>
      <c r="G8" s="1">
        <v>0.86329999999999996</v>
      </c>
      <c r="H8" s="1">
        <v>0.2137</v>
      </c>
      <c r="I8" s="1">
        <v>0.93430000000000002</v>
      </c>
      <c r="J8" s="1">
        <v>0.90580000000000005</v>
      </c>
      <c r="K8" s="1">
        <v>0.91979999999999995</v>
      </c>
      <c r="L8" s="1">
        <v>0.85150000000000003</v>
      </c>
    </row>
    <row r="9" spans="1:12" x14ac:dyDescent="0.2">
      <c r="A9" t="s">
        <v>3</v>
      </c>
      <c r="B9" t="s">
        <v>1</v>
      </c>
      <c r="C9">
        <v>4</v>
      </c>
      <c r="D9" s="1">
        <v>0.91320000000000001</v>
      </c>
      <c r="E9" s="1">
        <v>0.95079999999999998</v>
      </c>
      <c r="F9" s="2">
        <v>0.92910000000000004</v>
      </c>
      <c r="G9" s="2">
        <v>0.87939999999999996</v>
      </c>
      <c r="H9" s="2">
        <v>0.25190000000000001</v>
      </c>
      <c r="I9" s="1">
        <v>0.91520000000000001</v>
      </c>
      <c r="J9" s="1">
        <v>0.94020000000000004</v>
      </c>
      <c r="K9" s="2">
        <v>0.92759999999999998</v>
      </c>
      <c r="L9" s="2">
        <v>0.8649</v>
      </c>
    </row>
    <row r="10" spans="1:12" x14ac:dyDescent="0.2">
      <c r="A10" t="s">
        <v>3</v>
      </c>
      <c r="B10" t="s">
        <v>1</v>
      </c>
      <c r="C10">
        <v>3</v>
      </c>
      <c r="D10" s="1">
        <v>0.9</v>
      </c>
      <c r="E10" s="1">
        <v>0.95540000000000003</v>
      </c>
      <c r="F10" s="1">
        <v>0.92400000000000004</v>
      </c>
      <c r="G10" s="1">
        <v>0.87090000000000001</v>
      </c>
      <c r="H10" s="1">
        <v>0.22520000000000001</v>
      </c>
      <c r="I10" s="1">
        <v>0.90200000000000002</v>
      </c>
      <c r="J10" s="1">
        <v>0.94510000000000005</v>
      </c>
      <c r="K10" s="1">
        <v>0.92300000000000004</v>
      </c>
      <c r="L10" s="1">
        <v>0.85699999999999998</v>
      </c>
    </row>
    <row r="11" spans="1:12" x14ac:dyDescent="0.2">
      <c r="A11" t="s">
        <v>4</v>
      </c>
      <c r="B11" t="s">
        <v>1</v>
      </c>
      <c r="C11">
        <v>5</v>
      </c>
      <c r="D11" s="1">
        <v>0.92620000000000002</v>
      </c>
      <c r="E11" s="1">
        <v>0.88849999999999996</v>
      </c>
      <c r="F11" s="1">
        <v>0.90349999999999997</v>
      </c>
      <c r="G11" s="1">
        <v>0.83479999999999999</v>
      </c>
      <c r="H11" s="1">
        <v>6.8699999999999997E-2</v>
      </c>
      <c r="I11" s="1">
        <v>0.92689999999999995</v>
      </c>
      <c r="J11" s="1">
        <v>0.89190000000000003</v>
      </c>
      <c r="K11" s="1">
        <v>0.90910000000000002</v>
      </c>
      <c r="L11" s="1">
        <v>0.83330000000000004</v>
      </c>
    </row>
    <row r="12" spans="1:12" x14ac:dyDescent="0.2">
      <c r="A12" t="s">
        <v>4</v>
      </c>
      <c r="B12" t="s">
        <v>1</v>
      </c>
      <c r="C12">
        <v>4</v>
      </c>
      <c r="D12" s="1">
        <v>0.90529999999999999</v>
      </c>
      <c r="E12" s="1">
        <v>0.94720000000000004</v>
      </c>
      <c r="F12" s="1">
        <v>0.92269999999999996</v>
      </c>
      <c r="G12" s="1">
        <v>0.86719999999999997</v>
      </c>
      <c r="H12" s="1">
        <v>0.1794</v>
      </c>
      <c r="I12" s="1">
        <v>0.90529999999999999</v>
      </c>
      <c r="J12" s="1">
        <v>0.94140000000000001</v>
      </c>
      <c r="K12" s="1">
        <v>0.92300000000000004</v>
      </c>
      <c r="L12" s="1">
        <v>0.85699999999999998</v>
      </c>
    </row>
    <row r="13" spans="1:12" x14ac:dyDescent="0.2">
      <c r="A13" t="s">
        <v>4</v>
      </c>
      <c r="B13" t="s">
        <v>1</v>
      </c>
      <c r="C13">
        <v>3</v>
      </c>
      <c r="D13" s="1">
        <v>0.89690000000000003</v>
      </c>
      <c r="E13" s="1">
        <v>0.94930000000000003</v>
      </c>
      <c r="F13" s="1">
        <v>0.91910000000000003</v>
      </c>
      <c r="G13" s="1">
        <v>0.86080000000000001</v>
      </c>
      <c r="H13" s="1">
        <v>0.1565</v>
      </c>
      <c r="I13" s="1">
        <v>0.89759999999999995</v>
      </c>
      <c r="J13" s="1">
        <v>0.94340000000000002</v>
      </c>
      <c r="K13" s="1">
        <v>0.91990000000000005</v>
      </c>
      <c r="L13" s="1">
        <v>0.85170000000000001</v>
      </c>
    </row>
    <row r="14" spans="1:12" x14ac:dyDescent="0.2">
      <c r="A14" t="s">
        <v>5</v>
      </c>
      <c r="B14" t="s">
        <v>1</v>
      </c>
      <c r="C14">
        <v>5</v>
      </c>
      <c r="D14" s="1">
        <v>0.92259999999999998</v>
      </c>
      <c r="E14" s="1">
        <v>0.88470000000000004</v>
      </c>
      <c r="F14" s="1">
        <v>0.89859999999999995</v>
      </c>
      <c r="G14" s="1">
        <v>0.83909999999999996</v>
      </c>
      <c r="H14" s="1">
        <v>0.19470000000000001</v>
      </c>
      <c r="I14" s="2">
        <v>0.93630000000000002</v>
      </c>
      <c r="J14" s="1">
        <v>0.88619999999999999</v>
      </c>
      <c r="K14" s="1">
        <v>0.91049999999999998</v>
      </c>
      <c r="L14" s="1">
        <v>0.8357</v>
      </c>
    </row>
    <row r="15" spans="1:12" x14ac:dyDescent="0.2">
      <c r="A15" t="s">
        <v>5</v>
      </c>
      <c r="B15" t="s">
        <v>1</v>
      </c>
      <c r="C15">
        <v>4</v>
      </c>
      <c r="D15" s="1">
        <v>0.90469999999999995</v>
      </c>
      <c r="E15" s="1">
        <v>0.91459999999999997</v>
      </c>
      <c r="F15" s="1">
        <v>0.90629999999999999</v>
      </c>
      <c r="G15" s="1">
        <v>0.85109999999999997</v>
      </c>
      <c r="H15" s="1">
        <v>0.20610000000000001</v>
      </c>
      <c r="I15" s="1">
        <v>0.91890000000000005</v>
      </c>
      <c r="J15" s="1">
        <v>0.90949999999999998</v>
      </c>
      <c r="K15" s="1">
        <v>0.91420000000000001</v>
      </c>
      <c r="L15" s="1">
        <v>0.84189999999999998</v>
      </c>
    </row>
    <row r="16" spans="1:12" x14ac:dyDescent="0.2">
      <c r="A16" t="s">
        <v>5</v>
      </c>
      <c r="B16" t="s">
        <v>1</v>
      </c>
      <c r="C16">
        <v>3</v>
      </c>
      <c r="D16" s="1">
        <v>0.89739999999999998</v>
      </c>
      <c r="E16" s="1">
        <v>0.91549999999999998</v>
      </c>
      <c r="F16" s="1">
        <v>0.90290000000000004</v>
      </c>
      <c r="G16" s="1">
        <v>0.84560000000000002</v>
      </c>
      <c r="H16" s="1">
        <v>0.20610000000000001</v>
      </c>
      <c r="I16" s="1">
        <v>0.91039999999999999</v>
      </c>
      <c r="J16" s="1">
        <v>0.91039999999999999</v>
      </c>
      <c r="K16" s="1">
        <v>0.91039999999999999</v>
      </c>
      <c r="L16" s="1">
        <v>0.83550000000000002</v>
      </c>
    </row>
    <row r="17" spans="4:12" x14ac:dyDescent="0.2">
      <c r="D17" s="1">
        <f t="shared" ref="D17:L17" si="0">MAX(D2:D16)</f>
        <v>0.93169999999999997</v>
      </c>
      <c r="E17" s="1">
        <f t="shared" si="0"/>
        <v>0.96179999999999999</v>
      </c>
      <c r="F17" s="1">
        <f t="shared" si="0"/>
        <v>0.92910000000000004</v>
      </c>
      <c r="G17" s="1">
        <f t="shared" si="0"/>
        <v>0.87939999999999996</v>
      </c>
      <c r="H17" s="1">
        <f t="shared" si="0"/>
        <v>0.25190000000000001</v>
      </c>
      <c r="I17" s="1">
        <f t="shared" si="0"/>
        <v>0.93630000000000002</v>
      </c>
      <c r="J17" s="1">
        <f t="shared" si="0"/>
        <v>0.95479999999999998</v>
      </c>
      <c r="K17" s="1">
        <f t="shared" si="0"/>
        <v>0.92759999999999998</v>
      </c>
      <c r="L17" s="1">
        <f t="shared" si="0"/>
        <v>0.8649</v>
      </c>
    </row>
  </sheetData>
  <conditionalFormatting sqref="D2:D16">
    <cfRule type="colorScale" priority="10">
      <colorScale>
        <cfvo type="min"/>
        <cfvo type="max"/>
        <color rgb="FFFCFCFF"/>
        <color rgb="FF63BE7B"/>
      </colorScale>
    </cfRule>
  </conditionalFormatting>
  <conditionalFormatting sqref="E2:E16">
    <cfRule type="colorScale" priority="11">
      <colorScale>
        <cfvo type="min"/>
        <cfvo type="max"/>
        <color rgb="FFFCFCFF"/>
        <color rgb="FF63BE7B"/>
      </colorScale>
    </cfRule>
  </conditionalFormatting>
  <conditionalFormatting sqref="F2:F16">
    <cfRule type="colorScale" priority="12">
      <colorScale>
        <cfvo type="min"/>
        <cfvo type="max"/>
        <color rgb="FFFCFCFF"/>
        <color rgb="FF63BE7B"/>
      </colorScale>
    </cfRule>
  </conditionalFormatting>
  <conditionalFormatting sqref="G2:G16">
    <cfRule type="colorScale" priority="13">
      <colorScale>
        <cfvo type="min"/>
        <cfvo type="max"/>
        <color rgb="FFFCFCFF"/>
        <color rgb="FF63BE7B"/>
      </colorScale>
    </cfRule>
  </conditionalFormatting>
  <conditionalFormatting sqref="H2:H16">
    <cfRule type="colorScale" priority="14">
      <colorScale>
        <cfvo type="min"/>
        <cfvo type="max"/>
        <color rgb="FFFCFCFF"/>
        <color rgb="FF63BE7B"/>
      </colorScale>
    </cfRule>
  </conditionalFormatting>
  <conditionalFormatting sqref="I2:I16">
    <cfRule type="colorScale" priority="15">
      <colorScale>
        <cfvo type="min"/>
        <cfvo type="max"/>
        <color rgb="FFFCFCFF"/>
        <color rgb="FF63BE7B"/>
      </colorScale>
    </cfRule>
  </conditionalFormatting>
  <conditionalFormatting sqref="J2:J16">
    <cfRule type="colorScale" priority="16">
      <colorScale>
        <cfvo type="min"/>
        <cfvo type="max"/>
        <color rgb="FFFCFCFF"/>
        <color rgb="FF63BE7B"/>
      </colorScale>
    </cfRule>
  </conditionalFormatting>
  <conditionalFormatting sqref="K2:K16">
    <cfRule type="colorScale" priority="17">
      <colorScale>
        <cfvo type="min"/>
        <cfvo type="max"/>
        <color rgb="FFFCFCFF"/>
        <color rgb="FF63BE7B"/>
      </colorScale>
    </cfRule>
  </conditionalFormatting>
  <conditionalFormatting sqref="L2:L16">
    <cfRule type="colorScale" priority="18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Rully Agus Hendrawan</dc:creator>
  <cp:lastModifiedBy>Rully Agus Hendrawan</cp:lastModifiedBy>
  <dcterms:created xsi:type="dcterms:W3CDTF">2025-09-24T22:37:35Z</dcterms:created>
  <dcterms:modified xsi:type="dcterms:W3CDTF">2025-09-30T17:38:24Z</dcterms:modified>
</cp:coreProperties>
</file>